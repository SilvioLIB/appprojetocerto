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 postes duplo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6000"/>
      <sz val="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Ponto de aplicação do vento no poste (H) — Postes duplo T</t>
        </is>
      </c>
    </row>
    <row r="2">
      <c r="A2" s="2" t="inlineStr">
        <is>
          <t>H = h_livre · (2·dt + ds) / (3·(dt + ds))     |     h_livre = 0,9·L − 0,6 (medido a partir do engastamento)</t>
        </is>
      </c>
    </row>
    <row r="4">
      <c r="A4" s="3" t="inlineStr">
        <is>
          <t>Altura total L (m)</t>
        </is>
      </c>
      <c r="B4" s="3" t="inlineStr">
        <is>
          <t>Resistência Rn (daN)</t>
        </is>
      </c>
      <c r="C4" s="3" t="inlineStr">
        <is>
          <t>dt (mm)</t>
        </is>
      </c>
      <c r="D4" s="3" t="inlineStr">
        <is>
          <t>ds (mm)</t>
        </is>
      </c>
      <c r="E4" s="3" t="inlineStr">
        <is>
          <t>h livre (m)</t>
        </is>
      </c>
      <c r="F4" s="3" t="inlineStr">
        <is>
          <t>H (m)</t>
        </is>
      </c>
    </row>
    <row r="5">
      <c r="A5" s="4" t="n">
        <v>9</v>
      </c>
      <c r="B5" s="4" t="n">
        <v>300</v>
      </c>
      <c r="C5" s="4" t="n">
        <v>110</v>
      </c>
      <c r="D5" s="4" t="n">
        <v>290</v>
      </c>
      <c r="E5" s="5">
        <f>0.9*A5-0.6</f>
        <v/>
      </c>
      <c r="F5" s="6">
        <f>E5*(2*C5+D5)/(3*(C5+D5))</f>
        <v/>
      </c>
    </row>
    <row r="6">
      <c r="A6" s="7" t="n">
        <v>9</v>
      </c>
      <c r="B6" s="7" t="n">
        <v>600</v>
      </c>
      <c r="C6" s="7" t="n">
        <v>110</v>
      </c>
      <c r="D6" s="7" t="n">
        <v>290</v>
      </c>
      <c r="E6" s="8">
        <f>0.9*A6-0.6</f>
        <v/>
      </c>
      <c r="F6" s="9">
        <f>E6*(2*C6+D6)/(3*(C6+D6))</f>
        <v/>
      </c>
    </row>
    <row r="7">
      <c r="A7" s="4" t="n">
        <v>10</v>
      </c>
      <c r="B7" s="4" t="n">
        <v>150</v>
      </c>
      <c r="C7" s="4" t="n">
        <v>100</v>
      </c>
      <c r="D7" s="4" t="n">
        <v>200</v>
      </c>
      <c r="E7" s="5">
        <f>0.9*A7-0.6</f>
        <v/>
      </c>
      <c r="F7" s="6">
        <f>E7*(2*C7+D7)/(3*(C7+D7))</f>
        <v/>
      </c>
    </row>
    <row r="8">
      <c r="A8" s="7" t="n">
        <v>10</v>
      </c>
      <c r="B8" s="7" t="n">
        <v>300</v>
      </c>
      <c r="C8" s="7" t="n">
        <v>110</v>
      </c>
      <c r="D8" s="7" t="n">
        <v>310</v>
      </c>
      <c r="E8" s="8">
        <f>0.9*A8-0.6</f>
        <v/>
      </c>
      <c r="F8" s="9">
        <f>E8*(2*C8+D8)/(3*(C8+D8))</f>
        <v/>
      </c>
    </row>
    <row r="9">
      <c r="A9" s="4" t="n">
        <v>10</v>
      </c>
      <c r="B9" s="4" t="n">
        <v>600</v>
      </c>
      <c r="C9" s="4" t="n">
        <v>110</v>
      </c>
      <c r="D9" s="4" t="n">
        <v>310</v>
      </c>
      <c r="E9" s="5">
        <f>0.9*A9-0.6</f>
        <v/>
      </c>
      <c r="F9" s="6">
        <f>E9*(2*C9+D9)/(3*(C9+D9))</f>
        <v/>
      </c>
    </row>
    <row r="10">
      <c r="A10" s="7" t="n">
        <v>11</v>
      </c>
      <c r="B10" s="7" t="n">
        <v>300</v>
      </c>
      <c r="C10" s="7" t="n">
        <v>170</v>
      </c>
      <c r="D10" s="7" t="n">
        <v>390</v>
      </c>
      <c r="E10" s="8">
        <f>0.9*A10-0.6</f>
        <v/>
      </c>
      <c r="F10" s="9">
        <f>E10*(2*C10+D10)/(3*(C10+D10))</f>
        <v/>
      </c>
    </row>
    <row r="11">
      <c r="A11" s="4" t="n">
        <v>11</v>
      </c>
      <c r="B11" s="4" t="n">
        <v>600</v>
      </c>
      <c r="C11" s="4" t="n">
        <v>190</v>
      </c>
      <c r="D11" s="4" t="n">
        <v>410</v>
      </c>
      <c r="E11" s="5">
        <f>0.9*A11-0.6</f>
        <v/>
      </c>
      <c r="F11" s="6">
        <f>E11*(2*C11+D11)/(3*(C11+D11))</f>
        <v/>
      </c>
    </row>
    <row r="12">
      <c r="A12" s="7" t="n">
        <v>11</v>
      </c>
      <c r="B12" s="7" t="n">
        <v>1000</v>
      </c>
      <c r="C12" s="7" t="n">
        <v>230</v>
      </c>
      <c r="D12" s="7" t="n">
        <v>450</v>
      </c>
      <c r="E12" s="8">
        <f>0.9*A12-0.6</f>
        <v/>
      </c>
      <c r="F12" s="9">
        <f>E12*(2*C12+D12)/(3*(C12+D12))</f>
        <v/>
      </c>
    </row>
    <row r="13">
      <c r="A13" s="4" t="n">
        <v>11</v>
      </c>
      <c r="B13" s="4" t="n">
        <v>1500</v>
      </c>
      <c r="C13" s="4" t="n">
        <v>290</v>
      </c>
      <c r="D13" s="4" t="n">
        <v>510</v>
      </c>
      <c r="E13" s="5">
        <f>0.9*A13-0.6</f>
        <v/>
      </c>
      <c r="F13" s="6">
        <f>E13*(2*C13+D13)/(3*(C13+D13))</f>
        <v/>
      </c>
    </row>
    <row r="14">
      <c r="A14" s="7" t="n">
        <v>11</v>
      </c>
      <c r="B14" s="7" t="n">
        <v>2000</v>
      </c>
      <c r="C14" s="7" t="n">
        <v>330</v>
      </c>
      <c r="D14" s="7" t="n">
        <v>550</v>
      </c>
      <c r="E14" s="8">
        <f>0.9*A14-0.6</f>
        <v/>
      </c>
      <c r="F14" s="9">
        <f>E14*(2*C14+D14)/(3*(C14+D14))</f>
        <v/>
      </c>
    </row>
    <row r="15">
      <c r="A15" s="4" t="n">
        <v>12</v>
      </c>
      <c r="B15" s="4" t="n">
        <v>300</v>
      </c>
      <c r="C15" s="4" t="n">
        <v>170</v>
      </c>
      <c r="D15" s="4" t="n">
        <v>410</v>
      </c>
      <c r="E15" s="5">
        <f>0.9*A15-0.6</f>
        <v/>
      </c>
      <c r="F15" s="6">
        <f>E15*(2*C15+D15)/(3*(C15+D15))</f>
        <v/>
      </c>
    </row>
    <row r="16">
      <c r="A16" s="7" t="n">
        <v>12</v>
      </c>
      <c r="B16" s="7" t="n">
        <v>600</v>
      </c>
      <c r="C16" s="7" t="n">
        <v>190</v>
      </c>
      <c r="D16" s="7" t="n">
        <v>430</v>
      </c>
      <c r="E16" s="8">
        <f>0.9*A16-0.6</f>
        <v/>
      </c>
      <c r="F16" s="9">
        <f>E16*(2*C16+D16)/(3*(C16+D16))</f>
        <v/>
      </c>
    </row>
    <row r="17">
      <c r="A17" s="4" t="n">
        <v>12</v>
      </c>
      <c r="B17" s="4" t="n">
        <v>1000</v>
      </c>
      <c r="C17" s="4" t="n">
        <v>230</v>
      </c>
      <c r="D17" s="4" t="n">
        <v>470</v>
      </c>
      <c r="E17" s="5">
        <f>0.9*A17-0.6</f>
        <v/>
      </c>
      <c r="F17" s="6">
        <f>E17*(2*C17+D17)/(3*(C17+D17))</f>
        <v/>
      </c>
    </row>
    <row r="18">
      <c r="A18" s="7" t="n">
        <v>12</v>
      </c>
      <c r="B18" s="7" t="n">
        <v>1500</v>
      </c>
      <c r="C18" s="7" t="n">
        <v>290</v>
      </c>
      <c r="D18" s="7" t="n">
        <v>530</v>
      </c>
      <c r="E18" s="8">
        <f>0.9*A18-0.6</f>
        <v/>
      </c>
      <c r="F18" s="9">
        <f>E18*(2*C18+D18)/(3*(C18+D18))</f>
        <v/>
      </c>
    </row>
    <row r="19">
      <c r="A19" s="4" t="n">
        <v>12</v>
      </c>
      <c r="B19" s="4" t="n">
        <v>2000</v>
      </c>
      <c r="C19" s="4" t="n">
        <v>330</v>
      </c>
      <c r="D19" s="4" t="n">
        <v>570</v>
      </c>
      <c r="E19" s="5">
        <f>0.9*A19-0.6</f>
        <v/>
      </c>
      <c r="F19" s="6">
        <f>E19*(2*C19+D19)/(3*(C19+D19))</f>
        <v/>
      </c>
    </row>
    <row r="20">
      <c r="A20" s="7" t="n">
        <v>13</v>
      </c>
      <c r="B20" s="7" t="n">
        <v>300</v>
      </c>
      <c r="C20" s="7" t="n">
        <v>190</v>
      </c>
      <c r="D20" s="7" t="n">
        <v>450</v>
      </c>
      <c r="E20" s="8">
        <f>0.9*A20-0.6</f>
        <v/>
      </c>
      <c r="F20" s="9">
        <f>E20*(2*C20+D20)/(3*(C20+D20))</f>
        <v/>
      </c>
    </row>
    <row r="21">
      <c r="A21" s="4" t="n">
        <v>13</v>
      </c>
      <c r="B21" s="4" t="n">
        <v>600</v>
      </c>
      <c r="C21" s="4" t="n">
        <v>230</v>
      </c>
      <c r="D21" s="4" t="n">
        <v>490</v>
      </c>
      <c r="E21" s="5">
        <f>0.9*A21-0.6</f>
        <v/>
      </c>
      <c r="F21" s="6">
        <f>E21*(2*C21+D21)/(3*(C21+D21))</f>
        <v/>
      </c>
    </row>
    <row r="22">
      <c r="A22" s="7" t="n">
        <v>13</v>
      </c>
      <c r="B22" s="7" t="n">
        <v>1000</v>
      </c>
      <c r="C22" s="7" t="n">
        <v>290</v>
      </c>
      <c r="D22" s="7" t="n">
        <v>550</v>
      </c>
      <c r="E22" s="8">
        <f>0.9*A22-0.6</f>
        <v/>
      </c>
      <c r="F22" s="9">
        <f>E22*(2*C22+D22)/(3*(C22+D22))</f>
        <v/>
      </c>
    </row>
    <row r="23">
      <c r="A23" s="4" t="n">
        <v>13</v>
      </c>
      <c r="B23" s="4" t="n">
        <v>2000</v>
      </c>
      <c r="C23" s="4" t="n">
        <v>330</v>
      </c>
      <c r="D23" s="4" t="n">
        <v>590</v>
      </c>
      <c r="E23" s="5">
        <f>0.9*A23-0.6</f>
        <v/>
      </c>
      <c r="F23" s="6">
        <f>E23*(2*C23+D23)/(3*(C23+D23))</f>
        <v/>
      </c>
    </row>
    <row r="24">
      <c r="A24" s="7" t="n">
        <v>14</v>
      </c>
      <c r="B24" s="7" t="n">
        <v>300</v>
      </c>
      <c r="C24" s="7" t="n">
        <v>190</v>
      </c>
      <c r="D24" s="7" t="n">
        <v>470</v>
      </c>
      <c r="E24" s="8">
        <f>0.9*A24-0.6</f>
        <v/>
      </c>
      <c r="F24" s="9">
        <f>E24*(2*C24+D24)/(3*(C24+D24))</f>
        <v/>
      </c>
    </row>
    <row r="25">
      <c r="A25" s="4" t="n">
        <v>14</v>
      </c>
      <c r="B25" s="4" t="n">
        <v>600</v>
      </c>
      <c r="C25" s="4" t="n">
        <v>230</v>
      </c>
      <c r="D25" s="4" t="n">
        <v>510</v>
      </c>
      <c r="E25" s="5">
        <f>0.9*A25-0.6</f>
        <v/>
      </c>
      <c r="F25" s="6">
        <f>E25*(2*C25+D25)/(3*(C25+D25))</f>
        <v/>
      </c>
    </row>
    <row r="26">
      <c r="A26" s="7" t="n">
        <v>14</v>
      </c>
      <c r="B26" s="7" t="n">
        <v>1000</v>
      </c>
      <c r="C26" s="7" t="n">
        <v>290</v>
      </c>
      <c r="D26" s="7" t="n">
        <v>570</v>
      </c>
      <c r="E26" s="8">
        <f>0.9*A26-0.6</f>
        <v/>
      </c>
      <c r="F26" s="9">
        <f>E26*(2*C26+D26)/(3*(C26+D26))</f>
        <v/>
      </c>
    </row>
    <row r="27">
      <c r="A27" s="4" t="n">
        <v>14</v>
      </c>
      <c r="B27" s="4" t="n">
        <v>2000</v>
      </c>
      <c r="C27" s="4" t="n">
        <v>330</v>
      </c>
      <c r="D27" s="4" t="n">
        <v>610</v>
      </c>
      <c r="E27" s="5">
        <f>0.9*A27-0.6</f>
        <v/>
      </c>
      <c r="F27" s="6">
        <f>E27*(2*C27+D27)/(3*(C27+D27))</f>
        <v/>
      </c>
    </row>
    <row r="28">
      <c r="A28" s="7" t="n">
        <v>15</v>
      </c>
      <c r="B28" s="7" t="n">
        <v>300</v>
      </c>
      <c r="C28" s="7" t="n">
        <v>190</v>
      </c>
      <c r="D28" s="7" t="n">
        <v>490</v>
      </c>
      <c r="E28" s="8">
        <f>0.9*A28-0.6</f>
        <v/>
      </c>
      <c r="F28" s="9">
        <f>E28*(2*C28+D28)/(3*(C28+D28))</f>
        <v/>
      </c>
    </row>
    <row r="29">
      <c r="A29" s="4" t="n">
        <v>15</v>
      </c>
      <c r="B29" s="4" t="n">
        <v>600</v>
      </c>
      <c r="C29" s="4" t="n">
        <v>230</v>
      </c>
      <c r="D29" s="4" t="n">
        <v>530</v>
      </c>
      <c r="E29" s="5">
        <f>0.9*A29-0.6</f>
        <v/>
      </c>
      <c r="F29" s="6">
        <f>E29*(2*C29+D29)/(3*(C29+D29))</f>
        <v/>
      </c>
    </row>
    <row r="30">
      <c r="A30" s="7" t="n">
        <v>15</v>
      </c>
      <c r="B30" s="7" t="n">
        <v>1000</v>
      </c>
      <c r="C30" s="7" t="n">
        <v>290</v>
      </c>
      <c r="D30" s="7" t="n">
        <v>590</v>
      </c>
      <c r="E30" s="8">
        <f>0.9*A30-0.6</f>
        <v/>
      </c>
      <c r="F30" s="9">
        <f>E30*(2*C30+D30)/(3*(C30+D30))</f>
        <v/>
      </c>
    </row>
    <row r="31">
      <c r="A31" s="10" t="n">
        <v>15</v>
      </c>
      <c r="B31" s="10" t="n">
        <v>2000</v>
      </c>
      <c r="C31" s="10" t="n">
        <v>230</v>
      </c>
      <c r="D31" s="10" t="n">
        <v>610</v>
      </c>
      <c r="E31" s="11">
        <f>0.9*A31-0.6</f>
        <v/>
      </c>
      <c r="F31" s="12">
        <f>E31*(2*C31+D31)/(3*(C31+D31))</f>
        <v/>
      </c>
    </row>
    <row r="32">
      <c r="A32" s="7" t="n">
        <v>16</v>
      </c>
      <c r="B32" s="7" t="n">
        <v>300</v>
      </c>
      <c r="C32" s="7" t="n">
        <v>190</v>
      </c>
      <c r="D32" s="7" t="n">
        <v>510</v>
      </c>
      <c r="E32" s="8">
        <f>0.9*A32-0.6</f>
        <v/>
      </c>
      <c r="F32" s="9">
        <f>E32*(2*C32+D32)/(3*(C32+D32))</f>
        <v/>
      </c>
    </row>
    <row r="33">
      <c r="A33" s="4" t="n">
        <v>16</v>
      </c>
      <c r="B33" s="4" t="n">
        <v>600</v>
      </c>
      <c r="C33" s="4" t="n">
        <v>230</v>
      </c>
      <c r="D33" s="4" t="n">
        <v>550</v>
      </c>
      <c r="E33" s="5">
        <f>0.9*A33-0.6</f>
        <v/>
      </c>
      <c r="F33" s="6">
        <f>E33*(2*C33+D33)/(3*(C33+D33))</f>
        <v/>
      </c>
    </row>
    <row r="34">
      <c r="A34" s="7" t="n">
        <v>16</v>
      </c>
      <c r="B34" s="7" t="n">
        <v>1000</v>
      </c>
      <c r="C34" s="7" t="n">
        <v>290</v>
      </c>
      <c r="D34" s="7" t="n">
        <v>610</v>
      </c>
      <c r="E34" s="8">
        <f>0.9*A34-0.6</f>
        <v/>
      </c>
      <c r="F34" s="9">
        <f>E34*(2*C34+D34)/(3*(C34+D34))</f>
        <v/>
      </c>
    </row>
    <row r="35">
      <c r="A35" s="10" t="n">
        <v>16</v>
      </c>
      <c r="B35" s="10" t="n">
        <v>2000</v>
      </c>
      <c r="C35" s="10" t="n">
        <v>230</v>
      </c>
      <c r="D35" s="10" t="n">
        <v>650</v>
      </c>
      <c r="E35" s="11">
        <f>0.9*A35-0.6</f>
        <v/>
      </c>
      <c r="F35" s="12">
        <f>E35*(2*C35+D35)/(3*(C35+D35))</f>
        <v/>
      </c>
    </row>
    <row r="36">
      <c r="A36" s="7" t="n">
        <v>17</v>
      </c>
      <c r="B36" s="7" t="n">
        <v>300</v>
      </c>
      <c r="C36" s="7" t="n">
        <v>190</v>
      </c>
      <c r="D36" s="7" t="n">
        <v>530</v>
      </c>
      <c r="E36" s="8">
        <f>0.9*A36-0.6</f>
        <v/>
      </c>
      <c r="F36" s="9">
        <f>E36*(2*C36+D36)/(3*(C36+D36))</f>
        <v/>
      </c>
    </row>
    <row r="37">
      <c r="A37" s="4" t="n">
        <v>17</v>
      </c>
      <c r="B37" s="4" t="n">
        <v>600</v>
      </c>
      <c r="C37" s="4" t="n">
        <v>230</v>
      </c>
      <c r="D37" s="4" t="n">
        <v>570</v>
      </c>
      <c r="E37" s="5">
        <f>0.9*A37-0.6</f>
        <v/>
      </c>
      <c r="F37" s="6">
        <f>E37*(2*C37+D37)/(3*(C37+D37))</f>
        <v/>
      </c>
    </row>
    <row r="38">
      <c r="A38" s="7" t="n">
        <v>17</v>
      </c>
      <c r="B38" s="7" t="n">
        <v>1000</v>
      </c>
      <c r="C38" s="7" t="n">
        <v>290</v>
      </c>
      <c r="D38" s="7" t="n">
        <v>630</v>
      </c>
      <c r="E38" s="8">
        <f>0.9*A38-0.6</f>
        <v/>
      </c>
      <c r="F38" s="9">
        <f>E38*(2*C38+D38)/(3*(C38+D38))</f>
        <v/>
      </c>
    </row>
    <row r="39">
      <c r="A39" s="10" t="n">
        <v>17</v>
      </c>
      <c r="B39" s="10" t="n">
        <v>2000</v>
      </c>
      <c r="C39" s="10" t="n">
        <v>230</v>
      </c>
      <c r="D39" s="10" t="n">
        <v>670</v>
      </c>
      <c r="E39" s="11">
        <f>0.9*A39-0.6</f>
        <v/>
      </c>
      <c r="F39" s="12">
        <f>E39*(2*C39+D39)/(3*(C39+D39))</f>
        <v/>
      </c>
    </row>
    <row r="41">
      <c r="A41" s="13" t="inlineStr">
        <is>
          <t>Linhas destacadas em amarelo (2000 daN de 15, 16 e 17 m): dt=230 destoa da progressão — marcado como REVISAR no código-fonte (validador.ts).</t>
        </is>
      </c>
    </row>
  </sheetData>
  <mergeCells count="3">
    <mergeCell ref="A41:F41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2026-09-16T13:15:06Z</dcterms:created>
  <dcterms:modified xmlns:dcterms="http://purl.org/dc/terms/" xmlns:xsi="http://www.w3.org/2001/XMLSchema-instance" xsi:type="dcterms:W3CDTF">2026-09-16T13:15:06Z</dcterms:modified>
</cp:coreProperties>
</file>